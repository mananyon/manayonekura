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はじめに" sheetId="1" state="visible" r:id="rId1"/>
    <sheet name="1_初期投資" sheetId="2" state="visible" r:id="rId2"/>
    <sheet name="2_月次記録" sheetId="3" state="visible" r:id="rId3"/>
    <sheet name="3_一時イベント" sheetId="4" state="visible" r:id="rId4"/>
    <sheet name="4_定性・要件" sheetId="5" state="visible" r:id="rId5"/>
    <sheet name="5_標準モデル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"/>
    <numFmt numFmtId="166" formatCode="#,##0.0"/>
  </numFmts>
  <fonts count="10">
    <font>
      <name val="Calibri"/>
      <family val="2"/>
      <color theme="1"/>
      <sz val="11"/>
      <scheme val="minor"/>
    </font>
    <font>
      <name val="Arial"/>
      <b val="1"/>
      <color rgb="009C5446"/>
      <sz val="14"/>
    </font>
    <font>
      <name val="Arial"/>
      <color rgb="006A6053"/>
      <sz val="9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9C5446"/>
      <sz val="11"/>
    </font>
  </fonts>
  <fills count="6">
    <fill>
      <patternFill/>
    </fill>
    <fill>
      <patternFill patternType="gray125"/>
    </fill>
    <fill>
      <patternFill patternType="solid">
        <fgColor rgb="002B2620"/>
      </patternFill>
    </fill>
    <fill>
      <patternFill patternType="solid">
        <fgColor rgb="00FFFF00"/>
      </patternFill>
    </fill>
    <fill>
      <patternFill patternType="solid">
        <fgColor rgb="00F2EBDC"/>
      </patternFill>
    </fill>
    <fill>
      <patternFill patternType="solid">
        <fgColor rgb="00EFDFD8"/>
      </patternFill>
    </fill>
  </fills>
  <borders count="2">
    <border>
      <left/>
      <right/>
      <top/>
      <bottom/>
      <diagonal/>
    </border>
    <border>
      <left style="thin">
        <color rgb="00D7CCB7"/>
      </left>
      <right style="thin">
        <color rgb="00D7CCB7"/>
      </right>
      <top style="thin">
        <color rgb="00D7CCB7"/>
      </top>
      <bottom style="thin">
        <color rgb="00D7CCB7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7" fillId="0" borderId="1" pivotButton="0" quotePrefix="0" xfId="0"/>
    <xf numFmtId="0" fontId="7" fillId="0" borderId="1" pivotButton="0" quotePrefix="0" xfId="0"/>
    <xf numFmtId="164" fontId="4" fillId="0" borderId="1" pivotButton="0" quotePrefix="0" xfId="0"/>
    <xf numFmtId="0" fontId="2" fillId="0" borderId="1" pivotButton="0" quotePrefix="0" xfId="0"/>
    <xf numFmtId="0" fontId="4" fillId="0" borderId="1" pivotButton="0" quotePrefix="0" xfId="0"/>
    <xf numFmtId="164" fontId="7" fillId="3" borderId="1" pivotButton="0" quotePrefix="0" xfId="0"/>
    <xf numFmtId="0" fontId="7" fillId="3" borderId="1" pivotButton="0" quotePrefix="0" xfId="0"/>
    <xf numFmtId="0" fontId="3" fillId="4" borderId="1" pivotButton="0" quotePrefix="0" xfId="0"/>
    <xf numFmtId="164" fontId="3" fillId="4" borderId="1" pivotButton="0" quotePrefix="0" xfId="0"/>
    <xf numFmtId="0" fontId="0" fillId="4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4" fillId="3" borderId="1" pivotButton="0" quotePrefix="0" xfId="0"/>
    <xf numFmtId="165" fontId="4" fillId="0" borderId="1" pivotButton="0" quotePrefix="0" xfId="0"/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9" fillId="0" borderId="0" pivotButton="0" quotePrefix="0" xfId="0"/>
    <xf numFmtId="165" fontId="7" fillId="3" borderId="1" pivotButton="0" quotePrefix="0" xfId="0"/>
    <xf numFmtId="3" fontId="7" fillId="3" borderId="1" pivotButton="0" quotePrefix="0" xfId="0"/>
    <xf numFmtId="164" fontId="8" fillId="0" borderId="1" pivotButton="0" quotePrefix="0" xfId="0"/>
    <xf numFmtId="164" fontId="8" fillId="5" borderId="1" pivotButton="0" quotePrefix="0" xfId="0"/>
    <xf numFmtId="166" fontId="8" fillId="5" borderId="1" pivotButton="0" quotePrefix="0" xfId="0"/>
    <xf numFmtId="166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78" customWidth="1" min="3" max="3"/>
  </cols>
  <sheetData>
    <row r="1" ht="22" customHeight="1">
      <c r="A1" s="1" t="inlineStr">
        <is>
          <t>ねここち FC実証記録シート</t>
        </is>
      </c>
    </row>
    <row r="2">
      <c r="A2" s="2" t="inlineStr">
        <is>
          <t>1号店（町田店）— FCパッケージのための記録</t>
        </is>
      </c>
    </row>
    <row r="4">
      <c r="B4" s="3" t="inlineStr"/>
      <c r="C4" s="4" t="inlineStr"/>
    </row>
    <row r="5">
      <c r="B5" s="3" t="inlineStr">
        <is>
          <t>このシートの目的</t>
        </is>
      </c>
      <c r="C5" s="4" t="inlineStr">
        <is>
          <t>1号店は FCパッケージの実証実験です。他店に転用できる数字と手順を残すことが目的です。</t>
        </is>
      </c>
    </row>
    <row r="6">
      <c r="B6" s="3" t="inlineStr"/>
      <c r="C6" s="4" t="inlineStr">
        <is>
          <t>予想収益を示してFCを募集するには、公正取引委員会のガイドライン上、算定根拠の開示が必要です。</t>
        </is>
      </c>
    </row>
    <row r="7">
      <c r="B7" s="3" t="inlineStr"/>
      <c r="C7" s="4" t="inlineStr">
        <is>
          <t>つまり、この記録がないとFCの募集自体ができません。</t>
        </is>
      </c>
    </row>
    <row r="8">
      <c r="B8" s="3" t="inlineStr"/>
      <c r="C8" s="4" t="inlineStr"/>
    </row>
    <row r="9">
      <c r="B9" s="3" t="inlineStr">
        <is>
          <t>いちばん大事な列</t>
        </is>
      </c>
      <c r="C9" s="4" t="inlineStr">
        <is>
          <t>「差の理由」と「所要時間」。金額そのものより、なぜそうなったかが他店に効きます。</t>
        </is>
      </c>
    </row>
    <row r="10">
      <c r="B10" s="3" t="inlineStr"/>
      <c r="C10" s="4" t="inlineStr"/>
    </row>
    <row r="11">
      <c r="B11" s="3" t="inlineStr">
        <is>
          <t>シートの構成</t>
        </is>
      </c>
      <c r="C11" s="4" t="inlineStr">
        <is>
          <t>① 初期投資      発生の都度。実額と、FC標準モデルの相場を並べる</t>
        </is>
      </c>
    </row>
    <row r="12">
      <c r="B12" s="3" t="inlineStr"/>
      <c r="C12" s="4" t="inlineStr">
        <is>
          <t>② 月次記録      毎月1行。締めたその日に入れる</t>
        </is>
      </c>
    </row>
    <row r="13">
      <c r="B13" s="3" t="inlineStr"/>
      <c r="C13" s="4" t="inlineStr">
        <is>
          <t>③ 一時イベント  発生の都度。採用・教育・保健所・クレーム・設備・集客</t>
        </is>
      </c>
    </row>
    <row r="14">
      <c r="B14" s="3" t="inlineStr"/>
      <c r="C14" s="4" t="inlineStr">
        <is>
          <t>④ 定性・要件    随時。物件要件・設備・仕入先・掲載文・スクリプト</t>
        </is>
      </c>
    </row>
    <row r="15">
      <c r="B15" s="3" t="inlineStr"/>
      <c r="C15" s="4" t="inlineStr">
        <is>
          <t>⑤ 標準モデル    会員数を入れると、加盟店に見せる損益が出ます（入力は黄色セルのみ）</t>
        </is>
      </c>
    </row>
    <row r="16">
      <c r="B16" s="3" t="inlineStr"/>
      <c r="C16" s="4" t="inlineStr"/>
    </row>
    <row r="17">
      <c r="B17" s="3" t="inlineStr">
        <is>
          <t>記入のルール</t>
        </is>
      </c>
      <c r="C17" s="4" t="inlineStr">
        <is>
          <t>・黄色のセルだけ入力してください。それ以外は計算式が入っています</t>
        </is>
      </c>
    </row>
    <row r="18">
      <c r="B18" s="3" t="inlineStr"/>
      <c r="C18" s="4" t="inlineStr">
        <is>
          <t>・各シートの2行目に、書き方の例を1行入れてあります。上書きせず、3行目から追加してください</t>
        </is>
      </c>
    </row>
    <row r="19">
      <c r="B19" s="3" t="inlineStr"/>
      <c r="C19" s="4" t="inlineStr">
        <is>
          <t>・「あとでまとめる」はできません。その日のうちに埋める運用にしてください</t>
        </is>
      </c>
    </row>
    <row r="20">
      <c r="B20" s="3" t="inlineStr"/>
      <c r="C20" s="4" t="inlineStr"/>
    </row>
    <row r="21">
      <c r="B21" s="3" t="inlineStr">
        <is>
          <t>前提の数字</t>
        </is>
      </c>
      <c r="C21" s="4" t="inlineStr">
        <is>
          <t>会員1人あたり月次売上 6,636円／ロイヤリティ 売上の5%（いずれも⑤で変更できます）</t>
        </is>
      </c>
    </row>
    <row r="22">
      <c r="B22" s="3" t="inlineStr"/>
      <c r="C22" s="4" t="inlineStr">
        <is>
          <t>1号店の家賃は0円（自宅1階）。FC標準モデルでは月150,000円として計上します</t>
        </is>
      </c>
    </row>
    <row r="24">
      <c r="B24" s="5" t="inlineStr">
        <is>
          <t>作成</t>
        </is>
      </c>
      <c r="C24" s="2" t="inlineStr">
        <is>
          <t>2026-09-03 ／ 企画書『町田Wブランド企画書』9-12 に対応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6" customWidth="1" min="5" max="5"/>
    <col width="14" customWidth="1" min="6" max="6"/>
    <col width="40" customWidth="1" min="7" max="7"/>
    <col width="30" customWidth="1" min="8" max="8"/>
  </cols>
  <sheetData>
    <row r="1" ht="22" customHeight="1">
      <c r="A1" s="1" t="inlineStr">
        <is>
          <t>① 初期投資</t>
        </is>
      </c>
    </row>
    <row r="2">
      <c r="A2" s="2" t="inlineStr">
        <is>
          <t>実額と FC標準モデルの相場を並べる。「差の理由」がいちばん重要です</t>
        </is>
      </c>
    </row>
    <row r="4" ht="30" customHeight="1">
      <c r="A4" s="6" t="inlineStr">
        <is>
          <t>項目</t>
        </is>
      </c>
      <c r="B4" s="6" t="inlineStr">
        <is>
          <t>1号店の実額</t>
        </is>
      </c>
      <c r="C4" s="6" t="inlineStr">
        <is>
          <t>領収書No.</t>
        </is>
      </c>
      <c r="D4" s="6" t="inlineStr">
        <is>
          <t>支払日</t>
        </is>
      </c>
      <c r="E4" s="6" t="inlineStr">
        <is>
          <t>FC標準モデル</t>
        </is>
      </c>
      <c r="F4" s="6" t="inlineStr">
        <is>
          <t>差額</t>
        </is>
      </c>
      <c r="G4" s="6" t="inlineStr">
        <is>
          <t>差の理由</t>
        </is>
      </c>
      <c r="H4" s="6" t="inlineStr">
        <is>
          <t>備考</t>
        </is>
      </c>
    </row>
    <row r="5">
      <c r="A5" s="7" t="inlineStr">
        <is>
          <t>【例】内装工事</t>
        </is>
      </c>
      <c r="B5" s="8" t="n">
        <v>0</v>
      </c>
      <c r="C5" s="9" t="inlineStr">
        <is>
          <t>—</t>
        </is>
      </c>
      <c r="D5" s="9" t="inlineStr">
        <is>
          <t>2026-08-31</t>
        </is>
      </c>
      <c r="E5" s="8" t="n">
        <v>3000000</v>
      </c>
      <c r="F5" s="10">
        <f>E5-B5</f>
        <v/>
      </c>
      <c r="G5" s="9" t="inlineStr">
        <is>
          <t>入居前に完了済み。1号店だけの特殊条件</t>
        </is>
      </c>
      <c r="H5" s="11" t="inlineStr">
        <is>
          <t>相場は200〜500万円</t>
        </is>
      </c>
    </row>
    <row r="6">
      <c r="A6" s="12" t="inlineStr">
        <is>
          <t>加盟金</t>
        </is>
      </c>
      <c r="B6" s="13" t="n"/>
      <c r="C6" s="14" t="inlineStr"/>
      <c r="D6" s="14" t="inlineStr"/>
      <c r="E6" s="13" t="n">
        <v>1500000</v>
      </c>
      <c r="F6" s="10">
        <f>E6-B6</f>
        <v/>
      </c>
      <c r="G6" s="14" t="inlineStr">
        <is>
          <t>実証店として免除（FC契約に明記）</t>
        </is>
      </c>
      <c r="H6" s="11" t="inlineStr">
        <is>
          <t>他店は100〜150万円。モデルは上限で置く</t>
        </is>
      </c>
    </row>
    <row r="7">
      <c r="A7" s="12" t="inlineStr">
        <is>
          <t>研修費</t>
        </is>
      </c>
      <c r="B7" s="13" t="n"/>
      <c r="C7" s="14" t="inlineStr"/>
      <c r="D7" s="14" t="inlineStr"/>
      <c r="E7" s="13" t="n">
        <v>300000</v>
      </c>
      <c r="F7" s="10">
        <f>E7-B7</f>
        <v/>
      </c>
      <c r="G7" s="14" t="inlineStr">
        <is>
          <t>実証店として免除</t>
        </is>
      </c>
      <c r="H7" s="11" t="inlineStr"/>
    </row>
    <row r="8">
      <c r="A8" s="12" t="inlineStr">
        <is>
          <t>内装工事</t>
        </is>
      </c>
      <c r="B8" s="13" t="n"/>
      <c r="C8" s="14" t="inlineStr"/>
      <c r="D8" s="14" t="inlineStr"/>
      <c r="E8" s="13" t="n">
        <v>3000000</v>
      </c>
      <c r="F8" s="10">
        <f>E8-B8</f>
        <v/>
      </c>
      <c r="G8" s="14" t="inlineStr"/>
      <c r="H8" s="11" t="inlineStr">
        <is>
          <t>施術室2室・待合・専用出入口</t>
        </is>
      </c>
    </row>
    <row r="9">
      <c r="A9" s="12" t="inlineStr">
        <is>
          <t>敷金・保証金</t>
        </is>
      </c>
      <c r="B9" s="13" t="n"/>
      <c r="C9" s="14" t="inlineStr"/>
      <c r="D9" s="14" t="inlineStr"/>
      <c r="E9" s="13" t="n">
        <v>900000</v>
      </c>
      <c r="F9" s="10">
        <f>E9-B9</f>
        <v/>
      </c>
      <c r="G9" s="14" t="inlineStr">
        <is>
          <t>自宅のため不要</t>
        </is>
      </c>
      <c r="H9" s="11" t="inlineStr">
        <is>
          <t>家賃6ヶ月分</t>
        </is>
      </c>
    </row>
    <row r="10">
      <c r="A10" s="12" t="inlineStr">
        <is>
          <t>什器・備品</t>
        </is>
      </c>
      <c r="B10" s="13" t="n"/>
      <c r="C10" s="14" t="inlineStr"/>
      <c r="D10" s="14" t="inlineStr"/>
      <c r="E10" s="13" t="n">
        <v>500000</v>
      </c>
      <c r="F10" s="10">
        <f>E10-B10</f>
        <v/>
      </c>
      <c r="G10" s="14" t="inlineStr"/>
      <c r="H10" s="11" t="inlineStr">
        <is>
          <t>★1号店の実額を必ず入れること</t>
        </is>
      </c>
    </row>
    <row r="11">
      <c r="A11" s="12" t="inlineStr">
        <is>
          <t>鍼・消耗品（初回）</t>
        </is>
      </c>
      <c r="B11" s="13" t="n"/>
      <c r="C11" s="14" t="inlineStr"/>
      <c r="D11" s="14" t="inlineStr"/>
      <c r="E11" s="13" t="n"/>
      <c r="F11" s="10">
        <f>E11-B11</f>
        <v/>
      </c>
      <c r="G11" s="14" t="inlineStr"/>
      <c r="H11" s="11" t="inlineStr">
        <is>
          <t>型番と仕入先は④へ</t>
        </is>
      </c>
    </row>
    <row r="12">
      <c r="A12" s="12" t="inlineStr">
        <is>
          <t>予約・決済システム 初期</t>
        </is>
      </c>
      <c r="B12" s="13" t="n"/>
      <c r="C12" s="14" t="inlineStr"/>
      <c r="D12" s="14" t="inlineStr"/>
      <c r="E12" s="13" t="n"/>
      <c r="F12" s="10">
        <f>E12-B12</f>
        <v/>
      </c>
      <c r="G12" s="14" t="inlineStr"/>
      <c r="H12" s="11" t="inlineStr"/>
    </row>
    <row r="13">
      <c r="A13" s="12" t="inlineStr">
        <is>
          <t>看板・サイン</t>
        </is>
      </c>
      <c r="B13" s="13" t="n"/>
      <c r="C13" s="14" t="inlineStr"/>
      <c r="D13" s="14" t="inlineStr"/>
      <c r="E13" s="13" t="n"/>
      <c r="F13" s="10">
        <f>E13-B13</f>
        <v/>
      </c>
      <c r="G13" s="14" t="inlineStr"/>
      <c r="H13" s="11" t="inlineStr"/>
    </row>
    <row r="14">
      <c r="A14" s="12" t="inlineStr">
        <is>
          <t>HPB 初期費用</t>
        </is>
      </c>
      <c r="B14" s="13" t="n"/>
      <c r="C14" s="14" t="inlineStr"/>
      <c r="D14" s="14" t="inlineStr"/>
      <c r="E14" s="13" t="n"/>
      <c r="F14" s="10">
        <f>E14-B14</f>
        <v/>
      </c>
      <c r="G14" s="14" t="inlineStr"/>
      <c r="H14" s="11" t="inlineStr"/>
    </row>
    <row r="15">
      <c r="A15" s="12" t="inlineStr">
        <is>
          <t>運転資金</t>
        </is>
      </c>
      <c r="B15" s="13" t="n"/>
      <c r="C15" s="14" t="inlineStr"/>
      <c r="D15" s="14" t="inlineStr"/>
      <c r="E15" s="13" t="n">
        <v>3000000</v>
      </c>
      <c r="F15" s="10">
        <f>E15-B15</f>
        <v/>
      </c>
      <c r="G15" s="14" t="inlineStr"/>
      <c r="H15" s="11" t="inlineStr">
        <is>
          <t>1号店は100〜150万円</t>
        </is>
      </c>
    </row>
    <row r="16">
      <c r="A16" s="12" t="inlineStr">
        <is>
          <t>その他</t>
        </is>
      </c>
      <c r="B16" s="13" t="n"/>
      <c r="C16" s="14" t="inlineStr"/>
      <c r="D16" s="14" t="inlineStr"/>
      <c r="E16" s="13" t="n"/>
      <c r="F16" s="10">
        <f>E16-B16</f>
        <v/>
      </c>
      <c r="G16" s="14" t="inlineStr"/>
      <c r="H16" s="11" t="inlineStr"/>
    </row>
    <row r="17">
      <c r="A17" s="15" t="inlineStr">
        <is>
          <t>合計</t>
        </is>
      </c>
      <c r="B17" s="16">
        <f>SUM(B6:B16)</f>
        <v/>
      </c>
      <c r="C17" s="17" t="n"/>
      <c r="D17" s="17" t="n"/>
      <c r="E17" s="16">
        <f>SUM(E6:E16)</f>
        <v/>
      </c>
      <c r="F17" s="16">
        <f>SUM(F6:F16)</f>
        <v/>
      </c>
      <c r="G17" s="17" t="n"/>
      <c r="H17" s="17" t="n"/>
    </row>
    <row r="19">
      <c r="A19" s="2" t="inlineStr">
        <is>
          <t>黄色のセルに入力してください。F列（差額）は自動計算です。</t>
        </is>
      </c>
    </row>
    <row r="20">
      <c r="A20" s="2" t="inlineStr">
        <is>
          <t>5行目は記入例です。上書きせず、6行目以降に実額を入れてください。</t>
        </is>
      </c>
    </row>
    <row r="21">
      <c r="A21" s="2" t="inlineStr">
        <is>
          <t>合計は例の行を除いた6行目以降の合計です。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13" customWidth="1" min="8" max="8"/>
    <col width="12" customWidth="1" min="9" max="9"/>
    <col width="10" customWidth="1" min="10" max="10"/>
    <col width="10" customWidth="1" min="11" max="11"/>
    <col width="11" customWidth="1" min="12" max="12"/>
    <col width="14" customWidth="1" min="13" max="13"/>
    <col width="12" customWidth="1" min="14" max="14"/>
    <col width="14" customWidth="1" min="15" max="15"/>
    <col width="8" customWidth="1" min="16" max="16"/>
    <col width="9" customWidth="1" min="17" max="17"/>
  </cols>
  <sheetData>
    <row r="1" ht="22" customHeight="1">
      <c r="A1" s="1" t="inlineStr">
        <is>
          <t>② 月次記録</t>
        </is>
      </c>
    </row>
    <row r="2">
      <c r="A2" s="2" t="inlineStr">
        <is>
          <t>毎月1行。締めたその日に。実キャッシュ損益と標準モデル損益を両方見ます</t>
        </is>
      </c>
    </row>
    <row r="4" ht="30" customHeight="1">
      <c r="A4" s="6" t="inlineStr">
        <is>
          <t>年月</t>
        </is>
      </c>
      <c r="B4" s="6" t="inlineStr">
        <is>
          <t>月1会員</t>
        </is>
      </c>
      <c r="C4" s="6" t="inlineStr">
        <is>
          <t>月2会員</t>
        </is>
      </c>
      <c r="D4" s="6" t="inlineStr">
        <is>
          <t>都度
利用</t>
        </is>
      </c>
      <c r="E4" s="6" t="inlineStr">
        <is>
          <t>新規
初回</t>
        </is>
      </c>
      <c r="F4" s="6" t="inlineStr">
        <is>
          <t>会員化</t>
        </is>
      </c>
      <c r="G4" s="6" t="inlineStr">
        <is>
          <t>解約</t>
        </is>
      </c>
      <c r="H4" s="6" t="inlineStr">
        <is>
          <t>売上</t>
        </is>
      </c>
      <c r="I4" s="6" t="inlineStr">
        <is>
          <t>人件費</t>
        </is>
      </c>
      <c r="J4" s="6" t="inlineStr">
        <is>
          <t>HPB</t>
        </is>
      </c>
      <c r="K4" s="6" t="inlineStr">
        <is>
          <t>その他
経費</t>
        </is>
      </c>
      <c r="L4" s="6" t="inlineStr">
        <is>
          <t>ロイヤ
リティ</t>
        </is>
      </c>
      <c r="M4" s="6" t="inlineStr">
        <is>
          <t>実キャッシュ
損益</t>
        </is>
      </c>
      <c r="N4" s="6" t="inlineStr">
        <is>
          <t>内部保留
家賃</t>
        </is>
      </c>
      <c r="O4" s="6" t="inlineStr">
        <is>
          <t>標準モデル
損益</t>
        </is>
      </c>
      <c r="P4" s="6" t="inlineStr">
        <is>
          <t>施術
回数</t>
        </is>
      </c>
      <c r="Q4" s="6" t="inlineStr">
        <is>
          <t>稼働率</t>
        </is>
      </c>
    </row>
    <row r="5">
      <c r="A5" s="7" t="inlineStr">
        <is>
          <t>2026-12</t>
        </is>
      </c>
      <c r="B5" s="7" t="n">
        <v>20</v>
      </c>
      <c r="C5" s="7" t="n">
        <v>0</v>
      </c>
      <c r="D5" s="7" t="n">
        <v>3</v>
      </c>
      <c r="E5" s="7" t="n">
        <v>25</v>
      </c>
      <c r="F5" s="7" t="n">
        <v>8</v>
      </c>
      <c r="G5" s="7" t="n">
        <v>0</v>
      </c>
      <c r="H5" s="18" t="n">
        <v>131000</v>
      </c>
      <c r="I5" s="18" t="n">
        <v>350000</v>
      </c>
      <c r="J5" s="18" t="n">
        <v>50000</v>
      </c>
      <c r="K5" s="18" t="n">
        <v>100000</v>
      </c>
      <c r="L5" s="18">
        <f>ROUND(H5*'5_標準モデル'!$B$4,0)</f>
        <v/>
      </c>
      <c r="M5" s="18">
        <f>H5-I5-J5-K5-L5</f>
        <v/>
      </c>
      <c r="N5" s="18">
        <f>'5_標準モデル'!$B$5</f>
        <v/>
      </c>
      <c r="O5" s="18">
        <f>M5-N5</f>
        <v/>
      </c>
      <c r="P5" s="7" t="n">
        <v>26</v>
      </c>
      <c r="Q5" s="19">
        <f>IFERROR(P5/'5_標準モデル'!$B$6,0)</f>
        <v/>
      </c>
    </row>
    <row r="6">
      <c r="A6" s="14" t="n"/>
      <c r="B6" s="14" t="n"/>
      <c r="C6" s="14" t="n"/>
      <c r="D6" s="14" t="n"/>
      <c r="E6" s="14" t="n"/>
      <c r="F6" s="14" t="n"/>
      <c r="G6" s="14" t="n"/>
      <c r="H6" s="13" t="n"/>
      <c r="I6" s="13" t="n"/>
      <c r="J6" s="13" t="n"/>
      <c r="K6" s="13" t="n"/>
      <c r="L6" s="10">
        <f>IF(H6="","",ROUND(H6*'5_標準モデル'!$B$4,0))</f>
        <v/>
      </c>
      <c r="M6" s="10">
        <f>IF(H6="","",H6-I6-J6-K6-L6)</f>
        <v/>
      </c>
      <c r="N6" s="10">
        <f>IF(H6="","",'5_標準モデル'!$B$5)</f>
        <v/>
      </c>
      <c r="O6" s="10">
        <f>IF(H6="","",M6-N6)</f>
        <v/>
      </c>
      <c r="P6" s="20" t="n"/>
      <c r="Q6" s="21">
        <f>IFERROR(P6/'5_標準モデル'!$B$6,"")</f>
        <v/>
      </c>
    </row>
    <row r="7">
      <c r="A7" s="14" t="n"/>
      <c r="B7" s="14" t="n"/>
      <c r="C7" s="14" t="n"/>
      <c r="D7" s="14" t="n"/>
      <c r="E7" s="14" t="n"/>
      <c r="F7" s="14" t="n"/>
      <c r="G7" s="14" t="n"/>
      <c r="H7" s="13" t="n"/>
      <c r="I7" s="13" t="n"/>
      <c r="J7" s="13" t="n"/>
      <c r="K7" s="13" t="n"/>
      <c r="L7" s="10">
        <f>IF(H7="","",ROUND(H7*'5_標準モデル'!$B$4,0))</f>
        <v/>
      </c>
      <c r="M7" s="10">
        <f>IF(H7="","",H7-I7-J7-K7-L7)</f>
        <v/>
      </c>
      <c r="N7" s="10">
        <f>IF(H7="","",'5_標準モデル'!$B$5)</f>
        <v/>
      </c>
      <c r="O7" s="10">
        <f>IF(H7="","",M7-N7)</f>
        <v/>
      </c>
      <c r="P7" s="20" t="n"/>
      <c r="Q7" s="21">
        <f>IFERROR(P7/'5_標準モデル'!$B$6,"")</f>
        <v/>
      </c>
    </row>
    <row r="8">
      <c r="A8" s="14" t="n"/>
      <c r="B8" s="14" t="n"/>
      <c r="C8" s="14" t="n"/>
      <c r="D8" s="14" t="n"/>
      <c r="E8" s="14" t="n"/>
      <c r="F8" s="14" t="n"/>
      <c r="G8" s="14" t="n"/>
      <c r="H8" s="13" t="n"/>
      <c r="I8" s="13" t="n"/>
      <c r="J8" s="13" t="n"/>
      <c r="K8" s="13" t="n"/>
      <c r="L8" s="10">
        <f>IF(H8="","",ROUND(H8*'5_標準モデル'!$B$4,0))</f>
        <v/>
      </c>
      <c r="M8" s="10">
        <f>IF(H8="","",H8-I8-J8-K8-L8)</f>
        <v/>
      </c>
      <c r="N8" s="10">
        <f>IF(H8="","",'5_標準モデル'!$B$5)</f>
        <v/>
      </c>
      <c r="O8" s="10">
        <f>IF(H8="","",M8-N8)</f>
        <v/>
      </c>
      <c r="P8" s="20" t="n"/>
      <c r="Q8" s="21">
        <f>IFERROR(P8/'5_標準モデル'!$B$6,"")</f>
        <v/>
      </c>
    </row>
    <row r="9">
      <c r="A9" s="14" t="n"/>
      <c r="B9" s="14" t="n"/>
      <c r="C9" s="14" t="n"/>
      <c r="D9" s="14" t="n"/>
      <c r="E9" s="14" t="n"/>
      <c r="F9" s="14" t="n"/>
      <c r="G9" s="14" t="n"/>
      <c r="H9" s="13" t="n"/>
      <c r="I9" s="13" t="n"/>
      <c r="J9" s="13" t="n"/>
      <c r="K9" s="13" t="n"/>
      <c r="L9" s="10">
        <f>IF(H9="","",ROUND(H9*'5_標準モデル'!$B$4,0))</f>
        <v/>
      </c>
      <c r="M9" s="10">
        <f>IF(H9="","",H9-I9-J9-K9-L9)</f>
        <v/>
      </c>
      <c r="N9" s="10">
        <f>IF(H9="","",'5_標準モデル'!$B$5)</f>
        <v/>
      </c>
      <c r="O9" s="10">
        <f>IF(H9="","",M9-N9)</f>
        <v/>
      </c>
      <c r="P9" s="20" t="n"/>
      <c r="Q9" s="21">
        <f>IFERROR(P9/'5_標準モデル'!$B$6,"")</f>
        <v/>
      </c>
    </row>
    <row r="10">
      <c r="A10" s="14" t="n"/>
      <c r="B10" s="14" t="n"/>
      <c r="C10" s="14" t="n"/>
      <c r="D10" s="14" t="n"/>
      <c r="E10" s="14" t="n"/>
      <c r="F10" s="14" t="n"/>
      <c r="G10" s="14" t="n"/>
      <c r="H10" s="13" t="n"/>
      <c r="I10" s="13" t="n"/>
      <c r="J10" s="13" t="n"/>
      <c r="K10" s="13" t="n"/>
      <c r="L10" s="10">
        <f>IF(H10="","",ROUND(H10*'5_標準モデル'!$B$4,0))</f>
        <v/>
      </c>
      <c r="M10" s="10">
        <f>IF(H10="","",H10-I10-J10-K10-L10)</f>
        <v/>
      </c>
      <c r="N10" s="10">
        <f>IF(H10="","",'5_標準モデル'!$B$5)</f>
        <v/>
      </c>
      <c r="O10" s="10">
        <f>IF(H10="","",M10-N10)</f>
        <v/>
      </c>
      <c r="P10" s="20" t="n"/>
      <c r="Q10" s="21">
        <f>IFERROR(P10/'5_標準モデル'!$B$6,"")</f>
        <v/>
      </c>
    </row>
    <row r="11">
      <c r="A11" s="14" t="n"/>
      <c r="B11" s="14" t="n"/>
      <c r="C11" s="14" t="n"/>
      <c r="D11" s="14" t="n"/>
      <c r="E11" s="14" t="n"/>
      <c r="F11" s="14" t="n"/>
      <c r="G11" s="14" t="n"/>
      <c r="H11" s="13" t="n"/>
      <c r="I11" s="13" t="n"/>
      <c r="J11" s="13" t="n"/>
      <c r="K11" s="13" t="n"/>
      <c r="L11" s="10">
        <f>IF(H11="","",ROUND(H11*'5_標準モデル'!$B$4,0))</f>
        <v/>
      </c>
      <c r="M11" s="10">
        <f>IF(H11="","",H11-I11-J11-K11-L11)</f>
        <v/>
      </c>
      <c r="N11" s="10">
        <f>IF(H11="","",'5_標準モデル'!$B$5)</f>
        <v/>
      </c>
      <c r="O11" s="10">
        <f>IF(H11="","",M11-N11)</f>
        <v/>
      </c>
      <c r="P11" s="20" t="n"/>
      <c r="Q11" s="21">
        <f>IFERROR(P11/'5_標準モデル'!$B$6,"")</f>
        <v/>
      </c>
    </row>
    <row r="12">
      <c r="A12" s="14" t="n"/>
      <c r="B12" s="14" t="n"/>
      <c r="C12" s="14" t="n"/>
      <c r="D12" s="14" t="n"/>
      <c r="E12" s="14" t="n"/>
      <c r="F12" s="14" t="n"/>
      <c r="G12" s="14" t="n"/>
      <c r="H12" s="13" t="n"/>
      <c r="I12" s="13" t="n"/>
      <c r="J12" s="13" t="n"/>
      <c r="K12" s="13" t="n"/>
      <c r="L12" s="10">
        <f>IF(H12="","",ROUND(H12*'5_標準モデル'!$B$4,0))</f>
        <v/>
      </c>
      <c r="M12" s="10">
        <f>IF(H12="","",H12-I12-J12-K12-L12)</f>
        <v/>
      </c>
      <c r="N12" s="10">
        <f>IF(H12="","",'5_標準モデル'!$B$5)</f>
        <v/>
      </c>
      <c r="O12" s="10">
        <f>IF(H12="","",M12-N12)</f>
        <v/>
      </c>
      <c r="P12" s="20" t="n"/>
      <c r="Q12" s="21">
        <f>IFERROR(P12/'5_標準モデル'!$B$6,"")</f>
        <v/>
      </c>
    </row>
    <row r="13">
      <c r="A13" s="14" t="n"/>
      <c r="B13" s="14" t="n"/>
      <c r="C13" s="14" t="n"/>
      <c r="D13" s="14" t="n"/>
      <c r="E13" s="14" t="n"/>
      <c r="F13" s="14" t="n"/>
      <c r="G13" s="14" t="n"/>
      <c r="H13" s="13" t="n"/>
      <c r="I13" s="13" t="n"/>
      <c r="J13" s="13" t="n"/>
      <c r="K13" s="13" t="n"/>
      <c r="L13" s="10">
        <f>IF(H13="","",ROUND(H13*'5_標準モデル'!$B$4,0))</f>
        <v/>
      </c>
      <c r="M13" s="10">
        <f>IF(H13="","",H13-I13-J13-K13-L13)</f>
        <v/>
      </c>
      <c r="N13" s="10">
        <f>IF(H13="","",'5_標準モデル'!$B$5)</f>
        <v/>
      </c>
      <c r="O13" s="10">
        <f>IF(H13="","",M13-N13)</f>
        <v/>
      </c>
      <c r="P13" s="20" t="n"/>
      <c r="Q13" s="21">
        <f>IFERROR(P13/'5_標準モデル'!$B$6,"")</f>
        <v/>
      </c>
    </row>
    <row r="14">
      <c r="A14" s="14" t="n"/>
      <c r="B14" s="14" t="n"/>
      <c r="C14" s="14" t="n"/>
      <c r="D14" s="14" t="n"/>
      <c r="E14" s="14" t="n"/>
      <c r="F14" s="14" t="n"/>
      <c r="G14" s="14" t="n"/>
      <c r="H14" s="13" t="n"/>
      <c r="I14" s="13" t="n"/>
      <c r="J14" s="13" t="n"/>
      <c r="K14" s="13" t="n"/>
      <c r="L14" s="10">
        <f>IF(H14="","",ROUND(H14*'5_標準モデル'!$B$4,0))</f>
        <v/>
      </c>
      <c r="M14" s="10">
        <f>IF(H14="","",H14-I14-J14-K14-L14)</f>
        <v/>
      </c>
      <c r="N14" s="10">
        <f>IF(H14="","",'5_標準モデル'!$B$5)</f>
        <v/>
      </c>
      <c r="O14" s="10">
        <f>IF(H14="","",M14-N14)</f>
        <v/>
      </c>
      <c r="P14" s="20" t="n"/>
      <c r="Q14" s="21">
        <f>IFERROR(P14/'5_標準モデル'!$B$6,"")</f>
        <v/>
      </c>
    </row>
    <row r="15">
      <c r="A15" s="14" t="n"/>
      <c r="B15" s="14" t="n"/>
      <c r="C15" s="14" t="n"/>
      <c r="D15" s="14" t="n"/>
      <c r="E15" s="14" t="n"/>
      <c r="F15" s="14" t="n"/>
      <c r="G15" s="14" t="n"/>
      <c r="H15" s="13" t="n"/>
      <c r="I15" s="13" t="n"/>
      <c r="J15" s="13" t="n"/>
      <c r="K15" s="13" t="n"/>
      <c r="L15" s="10">
        <f>IF(H15="","",ROUND(H15*'5_標準モデル'!$B$4,0))</f>
        <v/>
      </c>
      <c r="M15" s="10">
        <f>IF(H15="","",H15-I15-J15-K15-L15)</f>
        <v/>
      </c>
      <c r="N15" s="10">
        <f>IF(H15="","",'5_標準モデル'!$B$5)</f>
        <v/>
      </c>
      <c r="O15" s="10">
        <f>IF(H15="","",M15-N15)</f>
        <v/>
      </c>
      <c r="P15" s="20" t="n"/>
      <c r="Q15" s="21">
        <f>IFERROR(P15/'5_標準モデル'!$B$6,"")</f>
        <v/>
      </c>
    </row>
    <row r="16">
      <c r="A16" s="14" t="n"/>
      <c r="B16" s="14" t="n"/>
      <c r="C16" s="14" t="n"/>
      <c r="D16" s="14" t="n"/>
      <c r="E16" s="14" t="n"/>
      <c r="F16" s="14" t="n"/>
      <c r="G16" s="14" t="n"/>
      <c r="H16" s="13" t="n"/>
      <c r="I16" s="13" t="n"/>
      <c r="J16" s="13" t="n"/>
      <c r="K16" s="13" t="n"/>
      <c r="L16" s="10">
        <f>IF(H16="","",ROUND(H16*'5_標準モデル'!$B$4,0))</f>
        <v/>
      </c>
      <c r="M16" s="10">
        <f>IF(H16="","",H16-I16-J16-K16-L16)</f>
        <v/>
      </c>
      <c r="N16" s="10">
        <f>IF(H16="","",'5_標準モデル'!$B$5)</f>
        <v/>
      </c>
      <c r="O16" s="10">
        <f>IF(H16="","",M16-N16)</f>
        <v/>
      </c>
      <c r="P16" s="20" t="n"/>
      <c r="Q16" s="21">
        <f>IFERROR(P16/'5_標準モデル'!$B$6,"")</f>
        <v/>
      </c>
    </row>
    <row r="17">
      <c r="A17" s="14" t="n"/>
      <c r="B17" s="14" t="n"/>
      <c r="C17" s="14" t="n"/>
      <c r="D17" s="14" t="n"/>
      <c r="E17" s="14" t="n"/>
      <c r="F17" s="14" t="n"/>
      <c r="G17" s="14" t="n"/>
      <c r="H17" s="13" t="n"/>
      <c r="I17" s="13" t="n"/>
      <c r="J17" s="13" t="n"/>
      <c r="K17" s="13" t="n"/>
      <c r="L17" s="10">
        <f>IF(H17="","",ROUND(H17*'5_標準モデル'!$B$4,0))</f>
        <v/>
      </c>
      <c r="M17" s="10">
        <f>IF(H17="","",H17-I17-J17-K17-L17)</f>
        <v/>
      </c>
      <c r="N17" s="10">
        <f>IF(H17="","",'5_標準モデル'!$B$5)</f>
        <v/>
      </c>
      <c r="O17" s="10">
        <f>IF(H17="","",M17-N17)</f>
        <v/>
      </c>
      <c r="P17" s="20" t="n"/>
      <c r="Q17" s="21">
        <f>IFERROR(P17/'5_標準モデル'!$B$6,"")</f>
        <v/>
      </c>
    </row>
    <row r="18">
      <c r="A18" s="14" t="n"/>
      <c r="B18" s="14" t="n"/>
      <c r="C18" s="14" t="n"/>
      <c r="D18" s="14" t="n"/>
      <c r="E18" s="14" t="n"/>
      <c r="F18" s="14" t="n"/>
      <c r="G18" s="14" t="n"/>
      <c r="H18" s="13" t="n"/>
      <c r="I18" s="13" t="n"/>
      <c r="J18" s="13" t="n"/>
      <c r="K18" s="13" t="n"/>
      <c r="L18" s="10">
        <f>IF(H18="","",ROUND(H18*'5_標準モデル'!$B$4,0))</f>
        <v/>
      </c>
      <c r="M18" s="10">
        <f>IF(H18="","",H18-I18-J18-K18-L18)</f>
        <v/>
      </c>
      <c r="N18" s="10">
        <f>IF(H18="","",'5_標準モデル'!$B$5)</f>
        <v/>
      </c>
      <c r="O18" s="10">
        <f>IF(H18="","",M18-N18)</f>
        <v/>
      </c>
      <c r="P18" s="20" t="n"/>
      <c r="Q18" s="21">
        <f>IFERROR(P18/'5_標準モデル'!$B$6,"")</f>
        <v/>
      </c>
    </row>
    <row r="19">
      <c r="A19" s="14" t="n"/>
      <c r="B19" s="14" t="n"/>
      <c r="C19" s="14" t="n"/>
      <c r="D19" s="14" t="n"/>
      <c r="E19" s="14" t="n"/>
      <c r="F19" s="14" t="n"/>
      <c r="G19" s="14" t="n"/>
      <c r="H19" s="13" t="n"/>
      <c r="I19" s="13" t="n"/>
      <c r="J19" s="13" t="n"/>
      <c r="K19" s="13" t="n"/>
      <c r="L19" s="10">
        <f>IF(H19="","",ROUND(H19*'5_標準モデル'!$B$4,0))</f>
        <v/>
      </c>
      <c r="M19" s="10">
        <f>IF(H19="","",H19-I19-J19-K19-L19)</f>
        <v/>
      </c>
      <c r="N19" s="10">
        <f>IF(H19="","",'5_標準モデル'!$B$5)</f>
        <v/>
      </c>
      <c r="O19" s="10">
        <f>IF(H19="","",M19-N19)</f>
        <v/>
      </c>
      <c r="P19" s="20" t="n"/>
      <c r="Q19" s="21">
        <f>IFERROR(P19/'5_標準モデル'!$B$6,"")</f>
        <v/>
      </c>
    </row>
    <row r="20">
      <c r="A20" s="14" t="n"/>
      <c r="B20" s="14" t="n"/>
      <c r="C20" s="14" t="n"/>
      <c r="D20" s="14" t="n"/>
      <c r="E20" s="14" t="n"/>
      <c r="F20" s="14" t="n"/>
      <c r="G20" s="14" t="n"/>
      <c r="H20" s="13" t="n"/>
      <c r="I20" s="13" t="n"/>
      <c r="J20" s="13" t="n"/>
      <c r="K20" s="13" t="n"/>
      <c r="L20" s="10">
        <f>IF(H20="","",ROUND(H20*'5_標準モデル'!$B$4,0))</f>
        <v/>
      </c>
      <c r="M20" s="10">
        <f>IF(H20="","",H20-I20-J20-K20-L20)</f>
        <v/>
      </c>
      <c r="N20" s="10">
        <f>IF(H20="","",'5_標準モデル'!$B$5)</f>
        <v/>
      </c>
      <c r="O20" s="10">
        <f>IF(H20="","",M20-N20)</f>
        <v/>
      </c>
      <c r="P20" s="20" t="n"/>
      <c r="Q20" s="21">
        <f>IFERROR(P20/'5_標準モデル'!$B$6,"")</f>
        <v/>
      </c>
    </row>
    <row r="21">
      <c r="A21" s="14" t="n"/>
      <c r="B21" s="14" t="n"/>
      <c r="C21" s="14" t="n"/>
      <c r="D21" s="14" t="n"/>
      <c r="E21" s="14" t="n"/>
      <c r="F21" s="14" t="n"/>
      <c r="G21" s="14" t="n"/>
      <c r="H21" s="13" t="n"/>
      <c r="I21" s="13" t="n"/>
      <c r="J21" s="13" t="n"/>
      <c r="K21" s="13" t="n"/>
      <c r="L21" s="10">
        <f>IF(H21="","",ROUND(H21*'5_標準モデル'!$B$4,0))</f>
        <v/>
      </c>
      <c r="M21" s="10">
        <f>IF(H21="","",H21-I21-J21-K21-L21)</f>
        <v/>
      </c>
      <c r="N21" s="10">
        <f>IF(H21="","",'5_標準モデル'!$B$5)</f>
        <v/>
      </c>
      <c r="O21" s="10">
        <f>IF(H21="","",M21-N21)</f>
        <v/>
      </c>
      <c r="P21" s="20" t="n"/>
      <c r="Q21" s="21">
        <f>IFERROR(P21/'5_標準モデル'!$B$6,"")</f>
        <v/>
      </c>
    </row>
    <row r="22">
      <c r="A22" s="14" t="n"/>
      <c r="B22" s="14" t="n"/>
      <c r="C22" s="14" t="n"/>
      <c r="D22" s="14" t="n"/>
      <c r="E22" s="14" t="n"/>
      <c r="F22" s="14" t="n"/>
      <c r="G22" s="14" t="n"/>
      <c r="H22" s="13" t="n"/>
      <c r="I22" s="13" t="n"/>
      <c r="J22" s="13" t="n"/>
      <c r="K22" s="13" t="n"/>
      <c r="L22" s="10">
        <f>IF(H22="","",ROUND(H22*'5_標準モデル'!$B$4,0))</f>
        <v/>
      </c>
      <c r="M22" s="10">
        <f>IF(H22="","",H22-I22-J22-K22-L22)</f>
        <v/>
      </c>
      <c r="N22" s="10">
        <f>IF(H22="","",'5_標準モデル'!$B$5)</f>
        <v/>
      </c>
      <c r="O22" s="10">
        <f>IF(H22="","",M22-N22)</f>
        <v/>
      </c>
      <c r="P22" s="20" t="n"/>
      <c r="Q22" s="21">
        <f>IFERROR(P22/'5_標準モデル'!$B$6,"")</f>
        <v/>
      </c>
    </row>
    <row r="23">
      <c r="A23" s="14" t="n"/>
      <c r="B23" s="14" t="n"/>
      <c r="C23" s="14" t="n"/>
      <c r="D23" s="14" t="n"/>
      <c r="E23" s="14" t="n"/>
      <c r="F23" s="14" t="n"/>
      <c r="G23" s="14" t="n"/>
      <c r="H23" s="13" t="n"/>
      <c r="I23" s="13" t="n"/>
      <c r="J23" s="13" t="n"/>
      <c r="K23" s="13" t="n"/>
      <c r="L23" s="10">
        <f>IF(H23="","",ROUND(H23*'5_標準モデル'!$B$4,0))</f>
        <v/>
      </c>
      <c r="M23" s="10">
        <f>IF(H23="","",H23-I23-J23-K23-L23)</f>
        <v/>
      </c>
      <c r="N23" s="10">
        <f>IF(H23="","",'5_標準モデル'!$B$5)</f>
        <v/>
      </c>
      <c r="O23" s="10">
        <f>IF(H23="","",M23-N23)</f>
        <v/>
      </c>
      <c r="P23" s="20" t="n"/>
      <c r="Q23" s="21">
        <f>IFERROR(P23/'5_標準モデル'!$B$6,"")</f>
        <v/>
      </c>
    </row>
    <row r="24">
      <c r="A24" s="14" t="n"/>
      <c r="B24" s="14" t="n"/>
      <c r="C24" s="14" t="n"/>
      <c r="D24" s="14" t="n"/>
      <c r="E24" s="14" t="n"/>
      <c r="F24" s="14" t="n"/>
      <c r="G24" s="14" t="n"/>
      <c r="H24" s="13" t="n"/>
      <c r="I24" s="13" t="n"/>
      <c r="J24" s="13" t="n"/>
      <c r="K24" s="13" t="n"/>
      <c r="L24" s="10">
        <f>IF(H24="","",ROUND(H24*'5_標準モデル'!$B$4,0))</f>
        <v/>
      </c>
      <c r="M24" s="10">
        <f>IF(H24="","",H24-I24-J24-K24-L24)</f>
        <v/>
      </c>
      <c r="N24" s="10">
        <f>IF(H24="","",'5_標準モデル'!$B$5)</f>
        <v/>
      </c>
      <c r="O24" s="10">
        <f>IF(H24="","",M24-N24)</f>
        <v/>
      </c>
      <c r="P24" s="20" t="n"/>
      <c r="Q24" s="21">
        <f>IFERROR(P24/'5_標準モデル'!$B$6,"")</f>
        <v/>
      </c>
    </row>
    <row r="25">
      <c r="A25" s="14" t="n"/>
      <c r="B25" s="14" t="n"/>
      <c r="C25" s="14" t="n"/>
      <c r="D25" s="14" t="n"/>
      <c r="E25" s="14" t="n"/>
      <c r="F25" s="14" t="n"/>
      <c r="G25" s="14" t="n"/>
      <c r="H25" s="13" t="n"/>
      <c r="I25" s="13" t="n"/>
      <c r="J25" s="13" t="n"/>
      <c r="K25" s="13" t="n"/>
      <c r="L25" s="10">
        <f>IF(H25="","",ROUND(H25*'5_標準モデル'!$B$4,0))</f>
        <v/>
      </c>
      <c r="M25" s="10">
        <f>IF(H25="","",H25-I25-J25-K25-L25)</f>
        <v/>
      </c>
      <c r="N25" s="10">
        <f>IF(H25="","",'5_標準モデル'!$B$5)</f>
        <v/>
      </c>
      <c r="O25" s="10">
        <f>IF(H25="","",M25-N25)</f>
        <v/>
      </c>
      <c r="P25" s="20" t="n"/>
      <c r="Q25" s="21">
        <f>IFERROR(P25/'5_標準モデル'!$B$6,"")</f>
        <v/>
      </c>
    </row>
    <row r="26">
      <c r="A26" s="14" t="n"/>
      <c r="B26" s="14" t="n"/>
      <c r="C26" s="14" t="n"/>
      <c r="D26" s="14" t="n"/>
      <c r="E26" s="14" t="n"/>
      <c r="F26" s="14" t="n"/>
      <c r="G26" s="14" t="n"/>
      <c r="H26" s="13" t="n"/>
      <c r="I26" s="13" t="n"/>
      <c r="J26" s="13" t="n"/>
      <c r="K26" s="13" t="n"/>
      <c r="L26" s="10">
        <f>IF(H26="","",ROUND(H26*'5_標準モデル'!$B$4,0))</f>
        <v/>
      </c>
      <c r="M26" s="10">
        <f>IF(H26="","",H26-I26-J26-K26-L26)</f>
        <v/>
      </c>
      <c r="N26" s="10">
        <f>IF(H26="","",'5_標準モデル'!$B$5)</f>
        <v/>
      </c>
      <c r="O26" s="10">
        <f>IF(H26="","",M26-N26)</f>
        <v/>
      </c>
      <c r="P26" s="20" t="n"/>
      <c r="Q26" s="21">
        <f>IFERROR(P26/'5_標準モデル'!$B$6,"")</f>
        <v/>
      </c>
    </row>
    <row r="27">
      <c r="A27" s="14" t="n"/>
      <c r="B27" s="14" t="n"/>
      <c r="C27" s="14" t="n"/>
      <c r="D27" s="14" t="n"/>
      <c r="E27" s="14" t="n"/>
      <c r="F27" s="14" t="n"/>
      <c r="G27" s="14" t="n"/>
      <c r="H27" s="13" t="n"/>
      <c r="I27" s="13" t="n"/>
      <c r="J27" s="13" t="n"/>
      <c r="K27" s="13" t="n"/>
      <c r="L27" s="10">
        <f>IF(H27="","",ROUND(H27*'5_標準モデル'!$B$4,0))</f>
        <v/>
      </c>
      <c r="M27" s="10">
        <f>IF(H27="","",H27-I27-J27-K27-L27)</f>
        <v/>
      </c>
      <c r="N27" s="10">
        <f>IF(H27="","",'5_標準モデル'!$B$5)</f>
        <v/>
      </c>
      <c r="O27" s="10">
        <f>IF(H27="","",M27-N27)</f>
        <v/>
      </c>
      <c r="P27" s="20" t="n"/>
      <c r="Q27" s="21">
        <f>IFERROR(P27/'5_標準モデル'!$B$6,"")</f>
        <v/>
      </c>
    </row>
    <row r="28">
      <c r="A28" s="14" t="n"/>
      <c r="B28" s="14" t="n"/>
      <c r="C28" s="14" t="n"/>
      <c r="D28" s="14" t="n"/>
      <c r="E28" s="14" t="n"/>
      <c r="F28" s="14" t="n"/>
      <c r="G28" s="14" t="n"/>
      <c r="H28" s="13" t="n"/>
      <c r="I28" s="13" t="n"/>
      <c r="J28" s="13" t="n"/>
      <c r="K28" s="13" t="n"/>
      <c r="L28" s="10">
        <f>IF(H28="","",ROUND(H28*'5_標準モデル'!$B$4,0))</f>
        <v/>
      </c>
      <c r="M28" s="10">
        <f>IF(H28="","",H28-I28-J28-K28-L28)</f>
        <v/>
      </c>
      <c r="N28" s="10">
        <f>IF(H28="","",'5_標準モデル'!$B$5)</f>
        <v/>
      </c>
      <c r="O28" s="10">
        <f>IF(H28="","",M28-N28)</f>
        <v/>
      </c>
      <c r="P28" s="20" t="n"/>
      <c r="Q28" s="21">
        <f>IFERROR(P28/'5_標準モデル'!$B$6,"")</f>
        <v/>
      </c>
    </row>
    <row r="29">
      <c r="A29" s="14" t="n"/>
      <c r="B29" s="14" t="n"/>
      <c r="C29" s="14" t="n"/>
      <c r="D29" s="14" t="n"/>
      <c r="E29" s="14" t="n"/>
      <c r="F29" s="14" t="n"/>
      <c r="G29" s="14" t="n"/>
      <c r="H29" s="13" t="n"/>
      <c r="I29" s="13" t="n"/>
      <c r="J29" s="13" t="n"/>
      <c r="K29" s="13" t="n"/>
      <c r="L29" s="10">
        <f>IF(H29="","",ROUND(H29*'5_標準モデル'!$B$4,0))</f>
        <v/>
      </c>
      <c r="M29" s="10">
        <f>IF(H29="","",H29-I29-J29-K29-L29)</f>
        <v/>
      </c>
      <c r="N29" s="10">
        <f>IF(H29="","",'5_標準モデル'!$B$5)</f>
        <v/>
      </c>
      <c r="O29" s="10">
        <f>IF(H29="","",M29-N29)</f>
        <v/>
      </c>
      <c r="P29" s="20" t="n"/>
      <c r="Q29" s="21">
        <f>IFERROR(P29/'5_標準モデル'!$B$6,"")</f>
        <v/>
      </c>
    </row>
    <row r="31">
      <c r="A31" s="2" t="inlineStr">
        <is>
          <t>黄色＝入力。L〜O列・Q列は自動計算です。</t>
        </is>
      </c>
    </row>
    <row r="32">
      <c r="A32" s="2" t="inlineStr">
        <is>
          <t>実キャッシュ損益＝資金が持つかを見る数字。標準モデル損益＝加盟店に見せられる数字（家賃15万を引いた後）。</t>
        </is>
      </c>
    </row>
    <row r="33">
      <c r="A33" s="2" t="inlineStr">
        <is>
          <t>稼働率＝施術回数 ÷ 月間キャパ（⑤で設定）。</t>
        </is>
      </c>
    </row>
    <row r="34">
      <c r="A34" s="2" t="inlineStr">
        <is>
          <t>5行目は記入例です。6行目以降に実績を入れてください。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10" customWidth="1" min="4" max="4"/>
    <col width="12" customWidth="1" min="5" max="5"/>
    <col width="26" customWidth="1" min="6" max="6"/>
    <col width="46" customWidth="1" min="7" max="7"/>
  </cols>
  <sheetData>
    <row r="1" ht="22" customHeight="1">
      <c r="A1" s="1" t="inlineStr">
        <is>
          <t>③ 一時イベント記録</t>
        </is>
      </c>
    </row>
    <row r="2">
      <c r="A2" s="2" t="inlineStr">
        <is>
          <t>採用・教育・保健所・クレーム・設備・集客。所要時間を必ず入れてください</t>
        </is>
      </c>
    </row>
    <row r="4" ht="30" customHeight="1">
      <c r="A4" s="6" t="inlineStr">
        <is>
          <t>日付</t>
        </is>
      </c>
      <c r="B4" s="6" t="inlineStr">
        <is>
          <t>種別</t>
        </is>
      </c>
      <c r="C4" s="6" t="inlineStr">
        <is>
          <t>内容</t>
        </is>
      </c>
      <c r="D4" s="6" t="inlineStr">
        <is>
          <t>所要時間
(h)</t>
        </is>
      </c>
      <c r="E4" s="6" t="inlineStr">
        <is>
          <t>費用</t>
        </is>
      </c>
      <c r="F4" s="6" t="inlineStr">
        <is>
          <t>結果・数値</t>
        </is>
      </c>
      <c r="G4" s="6" t="inlineStr">
        <is>
          <t>次回への申し送り</t>
        </is>
      </c>
    </row>
    <row r="5">
      <c r="A5" s="7" t="inlineStr">
        <is>
          <t>2026-11-10</t>
        </is>
      </c>
      <c r="B5" s="7" t="inlineStr">
        <is>
          <t>採用</t>
        </is>
      </c>
      <c r="C5" s="7" t="inlineStr">
        <is>
          <t>求人掲載〜内定（鍼灸師1名）</t>
        </is>
      </c>
      <c r="D5" s="7" t="n">
        <v>32</v>
      </c>
      <c r="E5" s="18" t="n">
        <v>80000</v>
      </c>
      <c r="F5" s="7" t="inlineStr">
        <is>
          <t>応募12名／面接4名／内定1名</t>
        </is>
      </c>
      <c r="G5" s="7" t="inlineStr">
        <is>
          <t>社保完備の記載で応募が倍増。掲載は月初が反応良い</t>
        </is>
      </c>
    </row>
    <row r="6">
      <c r="A6" s="14" t="n"/>
      <c r="B6" s="14" t="n"/>
      <c r="C6" s="14" t="n"/>
      <c r="D6" s="14" t="n"/>
      <c r="E6" s="13" t="n"/>
      <c r="F6" s="14" t="n"/>
      <c r="G6" s="14" t="n"/>
    </row>
    <row r="7">
      <c r="A7" s="14" t="n"/>
      <c r="B7" s="14" t="n"/>
      <c r="C7" s="14" t="n"/>
      <c r="D7" s="14" t="n"/>
      <c r="E7" s="13" t="n"/>
      <c r="F7" s="14" t="n"/>
      <c r="G7" s="14" t="n"/>
    </row>
    <row r="8">
      <c r="A8" s="14" t="n"/>
      <c r="B8" s="14" t="n"/>
      <c r="C8" s="14" t="n"/>
      <c r="D8" s="14" t="n"/>
      <c r="E8" s="13" t="n"/>
      <c r="F8" s="14" t="n"/>
      <c r="G8" s="14" t="n"/>
    </row>
    <row r="9">
      <c r="A9" s="14" t="n"/>
      <c r="B9" s="14" t="n"/>
      <c r="C9" s="14" t="n"/>
      <c r="D9" s="14" t="n"/>
      <c r="E9" s="13" t="n"/>
      <c r="F9" s="14" t="n"/>
      <c r="G9" s="14" t="n"/>
    </row>
    <row r="10">
      <c r="A10" s="14" t="n"/>
      <c r="B10" s="14" t="n"/>
      <c r="C10" s="14" t="n"/>
      <c r="D10" s="14" t="n"/>
      <c r="E10" s="13" t="n"/>
      <c r="F10" s="14" t="n"/>
      <c r="G10" s="14" t="n"/>
    </row>
    <row r="11">
      <c r="A11" s="14" t="n"/>
      <c r="B11" s="14" t="n"/>
      <c r="C11" s="14" t="n"/>
      <c r="D11" s="14" t="n"/>
      <c r="E11" s="13" t="n"/>
      <c r="F11" s="14" t="n"/>
      <c r="G11" s="14" t="n"/>
    </row>
    <row r="12">
      <c r="A12" s="14" t="n"/>
      <c r="B12" s="14" t="n"/>
      <c r="C12" s="14" t="n"/>
      <c r="D12" s="14" t="n"/>
      <c r="E12" s="13" t="n"/>
      <c r="F12" s="14" t="n"/>
      <c r="G12" s="14" t="n"/>
    </row>
    <row r="13">
      <c r="A13" s="14" t="n"/>
      <c r="B13" s="14" t="n"/>
      <c r="C13" s="14" t="n"/>
      <c r="D13" s="14" t="n"/>
      <c r="E13" s="13" t="n"/>
      <c r="F13" s="14" t="n"/>
      <c r="G13" s="14" t="n"/>
    </row>
    <row r="14">
      <c r="A14" s="14" t="n"/>
      <c r="B14" s="14" t="n"/>
      <c r="C14" s="14" t="n"/>
      <c r="D14" s="14" t="n"/>
      <c r="E14" s="13" t="n"/>
      <c r="F14" s="14" t="n"/>
      <c r="G14" s="14" t="n"/>
    </row>
    <row r="15">
      <c r="A15" s="14" t="n"/>
      <c r="B15" s="14" t="n"/>
      <c r="C15" s="14" t="n"/>
      <c r="D15" s="14" t="n"/>
      <c r="E15" s="13" t="n"/>
      <c r="F15" s="14" t="n"/>
      <c r="G15" s="14" t="n"/>
    </row>
    <row r="16">
      <c r="A16" s="14" t="n"/>
      <c r="B16" s="14" t="n"/>
      <c r="C16" s="14" t="n"/>
      <c r="D16" s="14" t="n"/>
      <c r="E16" s="13" t="n"/>
      <c r="F16" s="14" t="n"/>
      <c r="G16" s="14" t="n"/>
    </row>
    <row r="17">
      <c r="A17" s="14" t="n"/>
      <c r="B17" s="14" t="n"/>
      <c r="C17" s="14" t="n"/>
      <c r="D17" s="14" t="n"/>
      <c r="E17" s="13" t="n"/>
      <c r="F17" s="14" t="n"/>
      <c r="G17" s="14" t="n"/>
    </row>
    <row r="18">
      <c r="A18" s="14" t="n"/>
      <c r="B18" s="14" t="n"/>
      <c r="C18" s="14" t="n"/>
      <c r="D18" s="14" t="n"/>
      <c r="E18" s="13" t="n"/>
      <c r="F18" s="14" t="n"/>
      <c r="G18" s="14" t="n"/>
    </row>
    <row r="19">
      <c r="A19" s="14" t="n"/>
      <c r="B19" s="14" t="n"/>
      <c r="C19" s="14" t="n"/>
      <c r="D19" s="14" t="n"/>
      <c r="E19" s="13" t="n"/>
      <c r="F19" s="14" t="n"/>
      <c r="G19" s="14" t="n"/>
    </row>
    <row r="20">
      <c r="A20" s="14" t="n"/>
      <c r="B20" s="14" t="n"/>
      <c r="C20" s="14" t="n"/>
      <c r="D20" s="14" t="n"/>
      <c r="E20" s="13" t="n"/>
      <c r="F20" s="14" t="n"/>
      <c r="G20" s="14" t="n"/>
    </row>
    <row r="21">
      <c r="A21" s="14" t="n"/>
      <c r="B21" s="14" t="n"/>
      <c r="C21" s="14" t="n"/>
      <c r="D21" s="14" t="n"/>
      <c r="E21" s="13" t="n"/>
      <c r="F21" s="14" t="n"/>
      <c r="G21" s="14" t="n"/>
    </row>
    <row r="22">
      <c r="A22" s="14" t="n"/>
      <c r="B22" s="14" t="n"/>
      <c r="C22" s="14" t="n"/>
      <c r="D22" s="14" t="n"/>
      <c r="E22" s="13" t="n"/>
      <c r="F22" s="14" t="n"/>
      <c r="G22" s="14" t="n"/>
    </row>
    <row r="23">
      <c r="A23" s="14" t="n"/>
      <c r="B23" s="14" t="n"/>
      <c r="C23" s="14" t="n"/>
      <c r="D23" s="14" t="n"/>
      <c r="E23" s="13" t="n"/>
      <c r="F23" s="14" t="n"/>
      <c r="G23" s="14" t="n"/>
    </row>
    <row r="24">
      <c r="A24" s="14" t="n"/>
      <c r="B24" s="14" t="n"/>
      <c r="C24" s="14" t="n"/>
      <c r="D24" s="14" t="n"/>
      <c r="E24" s="13" t="n"/>
      <c r="F24" s="14" t="n"/>
      <c r="G24" s="14" t="n"/>
    </row>
    <row r="25">
      <c r="A25" s="14" t="n"/>
      <c r="B25" s="14" t="n"/>
      <c r="C25" s="14" t="n"/>
      <c r="D25" s="14" t="n"/>
      <c r="E25" s="13" t="n"/>
      <c r="F25" s="14" t="n"/>
      <c r="G25" s="14" t="n"/>
    </row>
    <row r="26">
      <c r="A26" s="14" t="n"/>
      <c r="B26" s="14" t="n"/>
      <c r="C26" s="14" t="n"/>
      <c r="D26" s="14" t="n"/>
      <c r="E26" s="13" t="n"/>
      <c r="F26" s="14" t="n"/>
      <c r="G26" s="14" t="n"/>
    </row>
    <row r="27">
      <c r="A27" s="14" t="n"/>
      <c r="B27" s="14" t="n"/>
      <c r="C27" s="14" t="n"/>
      <c r="D27" s="14" t="n"/>
      <c r="E27" s="13" t="n"/>
      <c r="F27" s="14" t="n"/>
      <c r="G27" s="14" t="n"/>
    </row>
    <row r="28">
      <c r="A28" s="14" t="n"/>
      <c r="B28" s="14" t="n"/>
      <c r="C28" s="14" t="n"/>
      <c r="D28" s="14" t="n"/>
      <c r="E28" s="13" t="n"/>
      <c r="F28" s="14" t="n"/>
      <c r="G28" s="14" t="n"/>
    </row>
    <row r="29">
      <c r="A29" s="14" t="n"/>
      <c r="B29" s="14" t="n"/>
      <c r="C29" s="14" t="n"/>
      <c r="D29" s="14" t="n"/>
      <c r="E29" s="13" t="n"/>
      <c r="F29" s="14" t="n"/>
      <c r="G29" s="14" t="n"/>
    </row>
    <row r="30">
      <c r="A30" s="14" t="n"/>
      <c r="B30" s="14" t="n"/>
      <c r="C30" s="14" t="n"/>
      <c r="D30" s="14" t="n"/>
      <c r="E30" s="13" t="n"/>
      <c r="F30" s="14" t="n"/>
      <c r="G30" s="14" t="n"/>
    </row>
    <row r="31">
      <c r="A31" s="14" t="n"/>
      <c r="B31" s="14" t="n"/>
      <c r="C31" s="14" t="n"/>
      <c r="D31" s="14" t="n"/>
      <c r="E31" s="13" t="n"/>
      <c r="F31" s="14" t="n"/>
      <c r="G31" s="14" t="n"/>
    </row>
    <row r="32">
      <c r="A32" s="14" t="n"/>
      <c r="B32" s="14" t="n"/>
      <c r="C32" s="14" t="n"/>
      <c r="D32" s="14" t="n"/>
      <c r="E32" s="13" t="n"/>
      <c r="F32" s="14" t="n"/>
      <c r="G32" s="14" t="n"/>
    </row>
    <row r="33">
      <c r="A33" s="14" t="n"/>
      <c r="B33" s="14" t="n"/>
      <c r="C33" s="14" t="n"/>
      <c r="D33" s="14" t="n"/>
      <c r="E33" s="13" t="n"/>
      <c r="F33" s="14" t="n"/>
      <c r="G33" s="14" t="n"/>
    </row>
    <row r="34">
      <c r="A34" s="14" t="n"/>
      <c r="B34" s="14" t="n"/>
      <c r="C34" s="14" t="n"/>
      <c r="D34" s="14" t="n"/>
      <c r="E34" s="13" t="n"/>
      <c r="F34" s="14" t="n"/>
      <c r="G34" s="14" t="n"/>
    </row>
    <row r="35">
      <c r="A35" s="14" t="n"/>
      <c r="B35" s="14" t="n"/>
      <c r="C35" s="14" t="n"/>
      <c r="D35" s="14" t="n"/>
      <c r="E35" s="13" t="n"/>
      <c r="F35" s="14" t="n"/>
      <c r="G35" s="14" t="n"/>
    </row>
    <row r="36">
      <c r="A36" s="14" t="n"/>
      <c r="B36" s="14" t="n"/>
      <c r="C36" s="14" t="n"/>
      <c r="D36" s="14" t="n"/>
      <c r="E36" s="13" t="n"/>
      <c r="F36" s="14" t="n"/>
      <c r="G36" s="14" t="n"/>
    </row>
    <row r="37">
      <c r="A37" s="14" t="n"/>
      <c r="B37" s="14" t="n"/>
      <c r="C37" s="14" t="n"/>
      <c r="D37" s="14" t="n"/>
      <c r="E37" s="13" t="n"/>
      <c r="F37" s="14" t="n"/>
      <c r="G37" s="14" t="n"/>
    </row>
    <row r="38">
      <c r="A38" s="14" t="n"/>
      <c r="B38" s="14" t="n"/>
      <c r="C38" s="14" t="n"/>
      <c r="D38" s="14" t="n"/>
      <c r="E38" s="13" t="n"/>
      <c r="F38" s="14" t="n"/>
      <c r="G38" s="14" t="n"/>
    </row>
    <row r="39">
      <c r="A39" s="14" t="n"/>
      <c r="B39" s="14" t="n"/>
      <c r="C39" s="14" t="n"/>
      <c r="D39" s="14" t="n"/>
      <c r="E39" s="13" t="n"/>
      <c r="F39" s="14" t="n"/>
      <c r="G39" s="14" t="n"/>
    </row>
    <row r="40">
      <c r="A40" s="14" t="n"/>
      <c r="B40" s="14" t="n"/>
      <c r="C40" s="14" t="n"/>
      <c r="D40" s="14" t="n"/>
      <c r="E40" s="13" t="n"/>
      <c r="F40" s="14" t="n"/>
      <c r="G40" s="14" t="n"/>
    </row>
    <row r="41">
      <c r="A41" s="14" t="n"/>
      <c r="B41" s="14" t="n"/>
      <c r="C41" s="14" t="n"/>
      <c r="D41" s="14" t="n"/>
      <c r="E41" s="13" t="n"/>
      <c r="F41" s="14" t="n"/>
      <c r="G41" s="14" t="n"/>
    </row>
    <row r="42">
      <c r="A42" s="14" t="n"/>
      <c r="B42" s="14" t="n"/>
      <c r="C42" s="14" t="n"/>
      <c r="D42" s="14" t="n"/>
      <c r="E42" s="13" t="n"/>
      <c r="F42" s="14" t="n"/>
      <c r="G42" s="14" t="n"/>
    </row>
    <row r="43">
      <c r="A43" s="14" t="n"/>
      <c r="B43" s="14" t="n"/>
      <c r="C43" s="14" t="n"/>
      <c r="D43" s="14" t="n"/>
      <c r="E43" s="13" t="n"/>
      <c r="F43" s="14" t="n"/>
      <c r="G43" s="14" t="n"/>
    </row>
    <row r="44">
      <c r="A44" s="14" t="n"/>
      <c r="B44" s="14" t="n"/>
      <c r="C44" s="14" t="n"/>
      <c r="D44" s="14" t="n"/>
      <c r="E44" s="13" t="n"/>
      <c r="F44" s="14" t="n"/>
      <c r="G44" s="14" t="n"/>
    </row>
    <row r="45">
      <c r="A45" s="14" t="n"/>
      <c r="B45" s="14" t="n"/>
      <c r="C45" s="14" t="n"/>
      <c r="D45" s="14" t="n"/>
      <c r="E45" s="13" t="n"/>
      <c r="F45" s="14" t="n"/>
      <c r="G45" s="14" t="n"/>
    </row>
    <row r="47">
      <c r="A47" s="2" t="inlineStr">
        <is>
          <t>種別は6つから選んでください：採用／教育／保健所・行政／クレーム・ヒヤリハット／設備・仕入／集客施策</t>
        </is>
      </c>
    </row>
    <row r="48">
      <c r="A48" s="2" t="inlineStr">
        <is>
          <t>「所要時間」が最重要です。加盟店にとって最大のコストは、お金ではなくオーナーの時間です。</t>
        </is>
      </c>
    </row>
    <row r="49">
      <c r="A49" s="2" t="inlineStr">
        <is>
          <t>「開業前の準備に何時間かかるか」を示せるFC本部は、ほとんどありません。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26" customWidth="1" min="4" max="4"/>
    <col width="12" customWidth="1" min="5" max="5"/>
  </cols>
  <sheetData>
    <row r="1" ht="22" customHeight="1">
      <c r="A1" s="1" t="inlineStr">
        <is>
          <t>④ 定性・要件記録</t>
        </is>
      </c>
    </row>
    <row r="2">
      <c r="A2" s="2" t="inlineStr">
        <is>
          <t>そのままFCパッケージの中身になります</t>
        </is>
      </c>
    </row>
    <row r="4" ht="30" customHeight="1">
      <c r="A4" s="6" t="inlineStr">
        <is>
          <t>カテゴリ</t>
        </is>
      </c>
      <c r="B4" s="6" t="inlineStr">
        <is>
          <t>項目</t>
        </is>
      </c>
      <c r="C4" s="6" t="inlineStr">
        <is>
          <t>内容</t>
        </is>
      </c>
      <c r="D4" s="6" t="inlineStr">
        <is>
          <t>FCパッケージへの反映先</t>
        </is>
      </c>
      <c r="E4" s="6" t="inlineStr">
        <is>
          <t>更新日</t>
        </is>
      </c>
    </row>
    <row r="5">
      <c r="A5" s="22" t="inlineStr">
        <is>
          <t>【例】物件要件</t>
        </is>
      </c>
      <c r="B5" s="22" t="inlineStr">
        <is>
          <t>施術室の広さ</t>
        </is>
      </c>
      <c r="C5" s="22" t="inlineStr">
        <is>
          <t>6.6㎡以上／2室（ここちめいどと並行運用するため）</t>
        </is>
      </c>
      <c r="D5" s="22" t="inlineStr">
        <is>
          <t>物件選定チェックリスト</t>
        </is>
      </c>
      <c r="E5" s="22" t="inlineStr">
        <is>
          <t>2026-09-03</t>
        </is>
      </c>
    </row>
    <row r="6">
      <c r="A6" s="23" t="inlineStr">
        <is>
          <t>物件要件</t>
        </is>
      </c>
      <c r="B6" s="23" t="inlineStr">
        <is>
          <t>待合室</t>
        </is>
      </c>
      <c r="C6" s="24" t="inlineStr"/>
      <c r="D6" s="23" t="inlineStr">
        <is>
          <t>物件選定チェックリスト</t>
        </is>
      </c>
      <c r="E6" s="24" t="inlineStr"/>
    </row>
    <row r="7">
      <c r="A7" s="23" t="inlineStr">
        <is>
          <t>物件要件</t>
        </is>
      </c>
      <c r="B7" s="23" t="inlineStr">
        <is>
          <t>専用出入口・動線</t>
        </is>
      </c>
      <c r="C7" s="24" t="inlineStr"/>
      <c r="D7" s="23" t="inlineStr">
        <is>
          <t>物件選定チェックリスト</t>
        </is>
      </c>
      <c r="E7" s="24" t="inlineStr"/>
    </row>
    <row r="8">
      <c r="A8" s="23" t="inlineStr">
        <is>
          <t>物件要件</t>
        </is>
      </c>
      <c r="B8" s="23" t="inlineStr">
        <is>
          <t>立地条件（駅からの距離・視認性）</t>
        </is>
      </c>
      <c r="C8" s="24" t="inlineStr"/>
      <c r="D8" s="23" t="inlineStr">
        <is>
          <t>物件選定チェックリスト</t>
        </is>
      </c>
      <c r="E8" s="24" t="inlineStr"/>
    </row>
    <row r="9">
      <c r="A9" s="23" t="inlineStr">
        <is>
          <t>設備</t>
        </is>
      </c>
      <c r="B9" s="23" t="inlineStr">
        <is>
          <t>ベッド・什器の型番と仕入先</t>
        </is>
      </c>
      <c r="C9" s="24" t="inlineStr"/>
      <c r="D9" s="23" t="inlineStr">
        <is>
          <t>開業備品リスト</t>
        </is>
      </c>
      <c r="E9" s="24" t="inlineStr"/>
    </row>
    <row r="10">
      <c r="A10" s="23" t="inlineStr">
        <is>
          <t>設備</t>
        </is>
      </c>
      <c r="B10" s="23" t="inlineStr">
        <is>
          <t>消毒・洗浄設備</t>
        </is>
      </c>
      <c r="C10" s="24" t="inlineStr"/>
      <c r="D10" s="23" t="inlineStr">
        <is>
          <t>衛生マニュアル</t>
        </is>
      </c>
      <c r="E10" s="24" t="inlineStr"/>
    </row>
    <row r="11">
      <c r="A11" s="23" t="inlineStr">
        <is>
          <t>仕入</t>
        </is>
      </c>
      <c r="B11" s="23" t="inlineStr">
        <is>
          <t>鍼の型番・単価・仕入先</t>
        </is>
      </c>
      <c r="C11" s="24" t="inlineStr"/>
      <c r="D11" s="23" t="inlineStr">
        <is>
          <t>物品供給リスト</t>
        </is>
      </c>
      <c r="E11" s="24" t="inlineStr"/>
    </row>
    <row r="12">
      <c r="A12" s="23" t="inlineStr">
        <is>
          <t>仕入</t>
        </is>
      </c>
      <c r="B12" s="23" t="inlineStr">
        <is>
          <t>医療廃棄物の委託先・費用</t>
        </is>
      </c>
      <c r="C12" s="24" t="inlineStr"/>
      <c r="D12" s="23" t="inlineStr">
        <is>
          <t>衛生マニュアル</t>
        </is>
      </c>
      <c r="E12" s="24" t="inlineStr"/>
    </row>
    <row r="13">
      <c r="A13" s="23" t="inlineStr">
        <is>
          <t>行政</t>
        </is>
      </c>
      <c r="B13" s="23" t="inlineStr">
        <is>
          <t>保健所への届出手順（提出書類・期間）</t>
        </is>
      </c>
      <c r="C13" s="24" t="inlineStr"/>
      <c r="D13" s="23" t="inlineStr">
        <is>
          <t>開業手続き手順書</t>
        </is>
      </c>
      <c r="E13" s="24" t="inlineStr"/>
    </row>
    <row r="14">
      <c r="A14" s="23" t="inlineStr">
        <is>
          <t>行政</t>
        </is>
      </c>
      <c r="B14" s="23" t="inlineStr">
        <is>
          <t>任意包括適用の手続き（期間・書類）</t>
        </is>
      </c>
      <c r="C14" s="24" t="inlineStr"/>
      <c r="D14" s="23" t="inlineStr">
        <is>
          <t>労務手順書</t>
        </is>
      </c>
      <c r="E14" s="24" t="inlineStr"/>
    </row>
    <row r="15">
      <c r="A15" s="23" t="inlineStr">
        <is>
          <t>集客</t>
        </is>
      </c>
      <c r="B15" s="23" t="inlineStr">
        <is>
          <t>HPB掲載文（本文）</t>
        </is>
      </c>
      <c r="C15" s="24" t="inlineStr"/>
      <c r="D15" s="23" t="inlineStr">
        <is>
          <t>集客マニュアル</t>
        </is>
      </c>
      <c r="E15" s="24" t="inlineStr"/>
    </row>
    <row r="16">
      <c r="A16" s="23" t="inlineStr">
        <is>
          <t>集客</t>
        </is>
      </c>
      <c r="B16" s="23" t="inlineStr">
        <is>
          <t>HPB写真の構成と反応</t>
        </is>
      </c>
      <c r="C16" s="24" t="inlineStr"/>
      <c r="D16" s="23" t="inlineStr">
        <is>
          <t>集客マニュアル</t>
        </is>
      </c>
      <c r="E16" s="24" t="inlineStr"/>
    </row>
    <row r="17">
      <c r="A17" s="23" t="inlineStr">
        <is>
          <t>集客</t>
        </is>
      </c>
      <c r="B17" s="23" t="inlineStr">
        <is>
          <t>クーポン設計と転換率</t>
        </is>
      </c>
      <c r="C17" s="24" t="inlineStr"/>
      <c r="D17" s="23" t="inlineStr">
        <is>
          <t>集客マニュアル</t>
        </is>
      </c>
      <c r="E17" s="24" t="inlineStr"/>
    </row>
    <row r="18">
      <c r="A18" s="23" t="inlineStr">
        <is>
          <t>接客</t>
        </is>
      </c>
      <c r="B18" s="23" t="inlineStr">
        <is>
          <t>カウンセリングスクリプト</t>
        </is>
      </c>
      <c r="C18" s="24" t="inlineStr"/>
      <c r="D18" s="23" t="inlineStr">
        <is>
          <t>会員化トークマニュアル</t>
        </is>
      </c>
      <c r="E18" s="24" t="inlineStr"/>
    </row>
    <row r="19">
      <c r="A19" s="23" t="inlineStr">
        <is>
          <t>接客</t>
        </is>
      </c>
      <c r="B19" s="23" t="inlineStr">
        <is>
          <t>会員化の切り出し方と転換率</t>
        </is>
      </c>
      <c r="C19" s="24" t="inlineStr"/>
      <c r="D19" s="23" t="inlineStr">
        <is>
          <t>会員化トークマニュアル</t>
        </is>
      </c>
      <c r="E19" s="24" t="inlineStr"/>
    </row>
    <row r="20">
      <c r="A20" s="23" t="inlineStr">
        <is>
          <t>施術</t>
        </is>
      </c>
      <c r="B20" s="23" t="inlineStr">
        <is>
          <t>頭皮鍼プロトコル（手順・所要時間）</t>
        </is>
      </c>
      <c r="C20" s="24" t="inlineStr"/>
      <c r="D20" s="23" t="inlineStr">
        <is>
          <t>施術マニュアル</t>
        </is>
      </c>
      <c r="E20" s="24" t="inlineStr"/>
    </row>
    <row r="21">
      <c r="A21" s="23" t="inlineStr">
        <is>
          <t>教育</t>
        </is>
      </c>
      <c r="B21" s="23" t="inlineStr">
        <is>
          <t>一人前になるまでの教育カリキュラム</t>
        </is>
      </c>
      <c r="C21" s="24" t="inlineStr"/>
      <c r="D21" s="23" t="inlineStr">
        <is>
          <t>研修プログラム</t>
        </is>
      </c>
      <c r="E21" s="24" t="inlineStr"/>
    </row>
    <row r="22">
      <c r="A22" s="23" t="inlineStr">
        <is>
          <t>運営</t>
        </is>
      </c>
      <c r="B22" s="23" t="inlineStr">
        <is>
          <t>オーナー不在時の運営ルール</t>
        </is>
      </c>
      <c r="C22" s="24" t="inlineStr"/>
      <c r="D22" s="23" t="inlineStr">
        <is>
          <t>店舗運営マニュアル</t>
        </is>
      </c>
      <c r="E22" s="24" t="inlineStr"/>
    </row>
    <row r="23">
      <c r="A23" s="23" t="inlineStr">
        <is>
          <t>運営</t>
        </is>
      </c>
      <c r="B23" s="23" t="inlineStr">
        <is>
          <t>2人目を雇うタイミングの判断基準</t>
        </is>
      </c>
      <c r="C23" s="24" t="inlineStr"/>
      <c r="D23" s="23" t="inlineStr">
        <is>
          <t>店舗運営マニュアル</t>
        </is>
      </c>
      <c r="E23" s="24" t="inlineStr"/>
    </row>
    <row r="24">
      <c r="A24" s="14" t="n"/>
      <c r="B24" s="14" t="n"/>
      <c r="C24" s="14" t="n"/>
      <c r="D24" s="14" t="n"/>
      <c r="E24" s="14" t="n"/>
    </row>
    <row r="25">
      <c r="A25" s="14" t="n"/>
      <c r="B25" s="14" t="n"/>
      <c r="C25" s="14" t="n"/>
      <c r="D25" s="14" t="n"/>
      <c r="E25" s="14" t="n"/>
    </row>
    <row r="26">
      <c r="A26" s="14" t="n"/>
      <c r="B26" s="14" t="n"/>
      <c r="C26" s="14" t="n"/>
      <c r="D26" s="14" t="n"/>
      <c r="E26" s="14" t="n"/>
    </row>
    <row r="27">
      <c r="A27" s="14" t="n"/>
      <c r="B27" s="14" t="n"/>
      <c r="C27" s="14" t="n"/>
      <c r="D27" s="14" t="n"/>
      <c r="E27" s="14" t="n"/>
    </row>
    <row r="28">
      <c r="A28" s="14" t="n"/>
      <c r="B28" s="14" t="n"/>
      <c r="C28" s="14" t="n"/>
      <c r="D28" s="14" t="n"/>
      <c r="E28" s="14" t="n"/>
    </row>
    <row r="29">
      <c r="A29" s="14" t="n"/>
      <c r="B29" s="14" t="n"/>
      <c r="C29" s="14" t="n"/>
      <c r="D29" s="14" t="n"/>
      <c r="E29" s="14" t="n"/>
    </row>
    <row r="30">
      <c r="A30" s="14" t="n"/>
      <c r="B30" s="14" t="n"/>
      <c r="C30" s="14" t="n"/>
      <c r="D30" s="14" t="n"/>
      <c r="E30" s="14" t="n"/>
    </row>
    <row r="31">
      <c r="A31" s="14" t="n"/>
      <c r="B31" s="14" t="n"/>
      <c r="C31" s="14" t="n"/>
      <c r="D31" s="14" t="n"/>
      <c r="E31" s="14" t="n"/>
    </row>
    <row r="32">
      <c r="A32" s="14" t="n"/>
      <c r="B32" s="14" t="n"/>
      <c r="C32" s="14" t="n"/>
      <c r="D32" s="14" t="n"/>
      <c r="E32" s="14" t="n"/>
    </row>
    <row r="33">
      <c r="A33" s="14" t="n"/>
      <c r="B33" s="14" t="n"/>
      <c r="C33" s="14" t="n"/>
      <c r="D33" s="14" t="n"/>
      <c r="E33" s="14" t="n"/>
    </row>
    <row r="34">
      <c r="A34" s="14" t="n"/>
      <c r="B34" s="14" t="n"/>
      <c r="C34" s="14" t="n"/>
      <c r="D34" s="14" t="n"/>
      <c r="E34" s="14" t="n"/>
    </row>
    <row r="35">
      <c r="A35" s="14" t="n"/>
      <c r="B35" s="14" t="n"/>
      <c r="C35" s="14" t="n"/>
      <c r="D35" s="14" t="n"/>
      <c r="E35" s="14" t="n"/>
    </row>
    <row r="37">
      <c r="A37" s="2" t="inlineStr">
        <is>
          <t>C列（内容）とE列（更新日）が入力欄です。行は自由に足してください。</t>
        </is>
      </c>
    </row>
    <row r="38">
      <c r="A38" s="2" t="inlineStr">
        <is>
          <t>D列は、その記録がFCパッケージのどの文書になるかを示しています。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6" customWidth="1" min="3" max="3"/>
  </cols>
  <sheetData>
    <row r="1" ht="22" customHeight="1">
      <c r="A1" s="1" t="inlineStr">
        <is>
          <t>⑤ FC標準モデル</t>
        </is>
      </c>
    </row>
    <row r="2">
      <c r="A2" s="2" t="inlineStr">
        <is>
          <t>会員数を入れると、加盟店に見せる損益が出ます</t>
        </is>
      </c>
    </row>
    <row r="3">
      <c r="A3" s="25" t="inlineStr">
        <is>
          <t>■ 前提（黄色＝変更できます）</t>
        </is>
      </c>
    </row>
    <row r="4">
      <c r="A4" s="7" t="inlineStr">
        <is>
          <t>ロイヤリティ率</t>
        </is>
      </c>
      <c r="B4" s="26" t="n">
        <v>0.05</v>
      </c>
      <c r="C4" s="11" t="inlineStr">
        <is>
          <t>売上に対する率。1号店にも他店と同率を適用します</t>
        </is>
      </c>
    </row>
    <row r="5">
      <c r="A5" s="7" t="inlineStr">
        <is>
          <t>家賃（標準モデル）</t>
        </is>
      </c>
      <c r="B5" s="13" t="n">
        <v>150000</v>
      </c>
      <c r="C5" s="11" t="inlineStr">
        <is>
          <t>1号店は0円。他店では月15万円かかります</t>
        </is>
      </c>
    </row>
    <row r="6">
      <c r="A6" s="7" t="inlineStr">
        <is>
          <t>月間キャパ（施術回数）</t>
        </is>
      </c>
      <c r="B6" s="13" t="n">
        <v>220</v>
      </c>
      <c r="C6" s="11" t="inlineStr">
        <is>
          <t>1名・稼働率60%想定。②の稼働率計算に使います</t>
        </is>
      </c>
    </row>
    <row r="7">
      <c r="A7" s="7" t="inlineStr">
        <is>
          <t>会員1人あたり月次売上</t>
        </is>
      </c>
      <c r="B7" s="13" t="n">
        <v>6636</v>
      </c>
      <c r="C7" s="11" t="inlineStr">
        <is>
          <t>月1会員150人＋月2会員50人＋都度20人のミックス</t>
        </is>
      </c>
    </row>
    <row r="8">
      <c r="A8" s="7" t="inlineStr">
        <is>
          <t>人件費（月給＋社保）</t>
        </is>
      </c>
      <c r="B8" s="13" t="n">
        <v>350000</v>
      </c>
      <c r="C8" s="11" t="inlineStr">
        <is>
          <t>月給30万＋社会保険 会社負担 約15%</t>
        </is>
      </c>
    </row>
    <row r="9">
      <c r="A9" s="7" t="inlineStr">
        <is>
          <t>HPB掲載費</t>
        </is>
      </c>
      <c r="B9" s="13" t="n">
        <v>50000</v>
      </c>
      <c r="C9" s="11" t="inlineStr"/>
    </row>
    <row r="10">
      <c r="A10" s="7" t="inlineStr">
        <is>
          <t>水道光熱・消耗品・システム・保険</t>
        </is>
      </c>
      <c r="B10" s="13" t="n">
        <v>100000</v>
      </c>
      <c r="C10" s="11" t="inlineStr"/>
    </row>
    <row r="12">
      <c r="A12" s="25" t="inlineStr">
        <is>
          <t>■ 会員数を入れてください</t>
        </is>
      </c>
    </row>
    <row r="13">
      <c r="A13" s="7" t="inlineStr">
        <is>
          <t>会員数</t>
        </is>
      </c>
      <c r="B13" s="27" t="n">
        <v>150</v>
      </c>
      <c r="C13" s="11" t="inlineStr">
        <is>
          <t>ここを変えると下がすべて動きます</t>
        </is>
      </c>
    </row>
    <row r="15">
      <c r="A15" s="25" t="inlineStr">
        <is>
          <t>■ FC標準モデル（加盟店に見せる数字）</t>
        </is>
      </c>
    </row>
    <row r="16">
      <c r="A16" s="7" t="inlineStr">
        <is>
          <t>売上</t>
        </is>
      </c>
      <c r="B16" s="28">
        <f>B13*B7</f>
        <v/>
      </c>
      <c r="C16" s="11" t="inlineStr">
        <is>
          <t>会員数 × 1人あたり月次売上</t>
        </is>
      </c>
    </row>
    <row r="17">
      <c r="A17" s="7" t="inlineStr">
        <is>
          <t>人件費</t>
        </is>
      </c>
      <c r="B17" s="28">
        <f>-B8</f>
        <v/>
      </c>
      <c r="C17" s="11" t="inlineStr"/>
    </row>
    <row r="18">
      <c r="A18" s="7" t="inlineStr">
        <is>
          <t>家賃</t>
        </is>
      </c>
      <c r="B18" s="28">
        <f>-B5</f>
        <v/>
      </c>
      <c r="C18" s="11" t="inlineStr">
        <is>
          <t>★1号店では発生しないが、他店では必ずかかる</t>
        </is>
      </c>
    </row>
    <row r="19">
      <c r="A19" s="7" t="inlineStr">
        <is>
          <t>HPB掲載費</t>
        </is>
      </c>
      <c r="B19" s="28">
        <f>-B9</f>
        <v/>
      </c>
      <c r="C19" s="11" t="inlineStr"/>
    </row>
    <row r="20">
      <c r="A20" s="7" t="inlineStr">
        <is>
          <t>水道光熱・消耗品・システム</t>
        </is>
      </c>
      <c r="B20" s="28">
        <f>-B10</f>
        <v/>
      </c>
      <c r="C20" s="11" t="inlineStr"/>
    </row>
    <row r="21">
      <c r="A21" s="7" t="inlineStr">
        <is>
          <t>ロイヤリティ</t>
        </is>
      </c>
      <c r="B21" s="28">
        <f>-ROUND(B16*B4,0)</f>
        <v/>
      </c>
      <c r="C21" s="11" t="inlineStr"/>
    </row>
    <row r="22">
      <c r="A22" s="7" t="inlineStr">
        <is>
          <t>加盟店の利益</t>
        </is>
      </c>
      <c r="B22" s="29">
        <f>SUM(B16:B21)</f>
        <v/>
      </c>
      <c r="C22" s="11" t="inlineStr"/>
    </row>
    <row r="23">
      <c r="A23" s="7" t="inlineStr">
        <is>
          <t>損益分岐 会員数</t>
        </is>
      </c>
      <c r="B23" s="30">
        <f>ROUND((B8+B5+B9+B10)/(1-B4)/B7,1)</f>
        <v/>
      </c>
      <c r="C23" s="11" t="inlineStr">
        <is>
          <t>加盟店が再現できるライン</t>
        </is>
      </c>
    </row>
    <row r="25">
      <c r="A25" s="25" t="inlineStr">
        <is>
          <t>■ 1号店の実際（家賃ゼロ）</t>
        </is>
      </c>
    </row>
    <row r="26">
      <c r="A26" s="7" t="inlineStr">
        <is>
          <t>売上</t>
        </is>
      </c>
      <c r="B26" s="28">
        <f>B13*B7</f>
        <v/>
      </c>
      <c r="C26" s="11" t="inlineStr"/>
    </row>
    <row r="27">
      <c r="A27" s="7" t="inlineStr">
        <is>
          <t>固定費（人件費＋HPB＋その他）</t>
        </is>
      </c>
      <c r="B27" s="28">
        <f>-(B8+B9+B10)</f>
        <v/>
      </c>
      <c r="C27" s="11" t="inlineStr">
        <is>
          <t>家賃は入らない</t>
        </is>
      </c>
    </row>
    <row r="28">
      <c r="A28" s="7" t="inlineStr">
        <is>
          <t>ロイヤリティ</t>
        </is>
      </c>
      <c r="B28" s="28">
        <f>-ROUND(B26*B4,0)</f>
        <v/>
      </c>
      <c r="C28" s="11" t="inlineStr"/>
    </row>
    <row r="29">
      <c r="A29" s="7" t="inlineStr">
        <is>
          <t>1号店の利益</t>
        </is>
      </c>
      <c r="B29" s="29">
        <f>B26+B27+B28</f>
        <v/>
      </c>
      <c r="C29" s="11" t="inlineStr"/>
    </row>
    <row r="30">
      <c r="A30" s="7" t="inlineStr">
        <is>
          <t>損益分岐 会員数</t>
        </is>
      </c>
      <c r="B30" s="30">
        <f>ROUND((B8+B9+B10)/(1-B4)/B7,1)</f>
        <v/>
      </c>
      <c r="C30" s="11" t="inlineStr">
        <is>
          <t>資金が尽きないライン</t>
        </is>
      </c>
    </row>
    <row r="31">
      <c r="A31" s="7" t="inlineStr">
        <is>
          <t>差（内部保留すべき家賃）</t>
        </is>
      </c>
      <c r="B31" s="29">
        <f>B29-B22</f>
        <v/>
      </c>
      <c r="C31" s="11" t="inlineStr">
        <is>
          <t>★この額が「見かけ上の余裕」です</t>
        </is>
      </c>
    </row>
    <row r="33">
      <c r="A33" s="25" t="inlineStr">
        <is>
          <t>■ 投資回収（標準モデル）</t>
        </is>
      </c>
    </row>
    <row r="34">
      <c r="A34" s="7" t="inlineStr">
        <is>
          <t>初期投資</t>
        </is>
      </c>
      <c r="B34" s="28">
        <f>'1_初期投資'!E17</f>
        <v/>
      </c>
      <c r="C34" s="11" t="inlineStr">
        <is>
          <t>①の標準モデル合計から自動参照</t>
        </is>
      </c>
    </row>
    <row r="35">
      <c r="A35" s="7" t="inlineStr">
        <is>
          <t>月利益</t>
        </is>
      </c>
      <c r="B35" s="28">
        <f>B22</f>
        <v/>
      </c>
      <c r="C35" s="11" t="inlineStr"/>
    </row>
    <row r="36">
      <c r="A36" s="7" t="inlineStr">
        <is>
          <t>単純回収（ヶ月）</t>
        </is>
      </c>
      <c r="B36" s="31">
        <f>IFERROR(B34/B35,0)</f>
        <v/>
      </c>
      <c r="C36" s="11" t="inlineStr"/>
    </row>
    <row r="37">
      <c r="A37" s="7" t="inlineStr">
        <is>
          <t>黒字化までの月数</t>
        </is>
      </c>
      <c r="B37" s="27" t="n">
        <v>6</v>
      </c>
      <c r="C37" s="11" t="inlineStr">
        <is>
          <t>会員が損益分岐に達するまで</t>
        </is>
      </c>
    </row>
    <row r="38">
      <c r="A38" s="7" t="inlineStr">
        <is>
          <t>実質回収（ヶ月）</t>
        </is>
      </c>
      <c r="B38" s="30">
        <f>B36+B37</f>
        <v/>
      </c>
      <c r="C38" s="11" t="inlineStr">
        <is>
          <t>目標は30ヶ月以内</t>
        </is>
      </c>
    </row>
    <row r="40">
      <c r="A40" s="2" t="inlineStr">
        <is>
          <t>黄色のセルだけ変更してください。それ以外は計算式です。</t>
        </is>
      </c>
    </row>
    <row r="41">
      <c r="A41" s="2" t="inlineStr">
        <is>
          <t>B34（初期投資）は「1_初期投資」シートのE列合計を参照しています。</t>
        </is>
      </c>
    </row>
    <row r="42">
      <c r="A42" s="2" t="inlineStr">
        <is>
          <t>1号店の利益と標準モデルの利益の差（B31）が、内部保留すべき家賃です。この額を「儲かっている」と誤解しないこと。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2026-09-03T10:25:23Z</dcterms:created>
  <dcterms:modified xsi:type="dcterms:W3CDTF">2026-09-03T10:25:23Z</dcterms:modified>
</cp:coreProperties>
</file>